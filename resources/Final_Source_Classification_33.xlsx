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8327bc2c3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Classification" sheetId="1" r:id="R0757bbf543e140b9"/>
    <x:sheet xmlns:r="http://schemas.openxmlformats.org/officeDocument/2006/relationships" name="Summary" sheetId="2" r:id="Rfc3f1ab142cf415b"/>
    <x:sheet xmlns:r="http://schemas.openxmlformats.org/officeDocument/2006/relationships" name="Legend" sheetId="3" r:id="Rff1f3b062c12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2">
    <x:border/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hair">
        <x:color rgb="FFD9D9D9"/>
      </x:bottom>
    </x:border>
    <x:border>
      <x:bottom style="hair">
        <x:color rgb="FFD9D9D9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0" xfId="0" applyNumberFormat="1" applyFont="1" applyFill="1" applyBorder="1" applyAlignment="1">
      <x:alignment horizontal="center"/>
    </x:xf>
    <x:xf numFmtId="0" fontId="1" fillId="3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1" fillId="3" borderId="16" xfId="0" applyNumberFormat="1" applyFont="1" applyFill="1" applyBorder="1" applyAlignment="1">
      <x:alignment horizontal="center"/>
    </x:xf>
    <x:xf numFmtId="0" fontId="1" fillId="3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1" fillId="3" borderId="10" xfId="0" applyNumberFormat="1" applyFont="1" applyFill="1" applyBorder="1" applyAlignment="1">
      <x:alignment horizontal="center" wrapText="1"/>
    </x:xf>
    <x:xf numFmtId="0" fontId="1" fillId="3" borderId="11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3" borderId="16" xfId="0" applyNumberFormat="1" applyFont="1" applyFill="1" applyBorder="1" applyAlignment="1">
      <x:alignment horizontal="center" wrapText="1"/>
    </x:xf>
    <x:xf numFmtId="0" fontId="1" fillId="3" borderId="17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843C0C"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D9EA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bef535dff415e" /><Relationship Type="http://schemas.openxmlformats.org/officeDocument/2006/relationships/theme" Target="/xl/theme/theme1.xml" Id="Rbc384222db694aa4" /><Relationship Type="http://schemas.openxmlformats.org/officeDocument/2006/relationships/sharedStrings" Target="/xl/sharedStrings.xml" Id="R12d3b8e154d34bb8" /><Relationship Type="http://schemas.openxmlformats.org/officeDocument/2006/relationships/worksheet" Target="/xl/worksheets/sheet1.xml" Id="R0757bbf543e140b9" /><Relationship Type="http://schemas.openxmlformats.org/officeDocument/2006/relationships/worksheet" Target="/xl/worksheets/sheet2.xml" Id="Rfc3f1ab142cf415b" /><Relationship Type="http://schemas.openxmlformats.org/officeDocument/2006/relationships/worksheet" Target="/xl/worksheets/sheet3.xml" Id="Rff1f3b062c1249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099471808f41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Sources by Final Role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'Summary'!$D$4:$D$11</c:f>
              <c:strCache>
                <c:ptCount val="0"/>
              </c:strCache>
            </c:strRef>
          </c:cat>
          <c:val>
            <c:numRef>
              <c:f>'Summary'!$E$4:$E$11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099471808f415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lSourceClassification" displayName="FinalSourceClassification" ref="A1:O34" headerRowCount="1">
  <x:tableColumns count="15">
    <x:tableColumn id="1" name="ID"/>
    <x:tableColumn id="2" name="Short reference"/>
    <x:tableColumn id="3" name="Year"/>
    <x:tableColumn id="4" name="Title"/>
    <x:tableColumn id="5" name="Publication / outlet"/>
    <x:tableColumn id="6" name="Publication type"/>
    <x:tableColumn id="7" name="Formal analytical sample"/>
    <x:tableColumn id="8" name="Final role"/>
    <x:tableColumn id="9" name="Evidence level"/>
    <x:tableColumn id="10" name="Implementation relevance"/>
    <x:tableColumn id="11" name="Asia specificity"/>
    <x:tableColumn id="12" name="Use in barrier synthesis"/>
    <x:tableColumn id="13" name="Primary thesis chapters"/>
    <x:tableColumn id="14" name="Inclusion / exclusion rationale"/>
    <x:tableColumn id="15" name="Access / source li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23dda6eb654a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2c4cb5c36a74ce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8" hidden="0" customWidth="1"/>
    <x:col min="4" max="4" width="42" hidden="0" customWidth="1"/>
    <x:col min="5" max="5" width="34" hidden="0" customWidth="1"/>
    <x:col min="6" max="6" width="31" hidden="0" customWidth="1"/>
    <x:col min="7" max="7" width="18" hidden="0" customWidth="1"/>
    <x:col min="8" max="8" width="26" hidden="0" customWidth="1"/>
    <x:col min="9" max="9" width="34" hidden="0" customWidth="1"/>
    <x:col min="10" max="10" width="16" hidden="0" customWidth="1"/>
    <x:col min="11" max="11" width="16" hidden="0" customWidth="1"/>
    <x:col min="12" max="12" width="28" hidden="0" customWidth="1"/>
    <x:col min="13" max="13" width="32" hidden="0" customWidth="1"/>
    <x:col min="14" max="14" width="58" hidden="0" customWidth="1"/>
    <x:col min="15" max="15" width="42" hidden="0" customWidth="1"/>
  </x:cols>
  <x:sheetData>
    <x:row r="1" ht="34" customHeight="1">
      <x:c r="A1" s="13" t="str">
        <x:v>ID</x:v>
      </x:c>
      <x:c r="B1" s="14" t="str">
        <x:v>Short reference</x:v>
      </x:c>
      <x:c r="C1" s="14" t="str">
        <x:v>Year</x:v>
      </x:c>
      <x:c r="D1" s="14" t="str">
        <x:v>Title</x:v>
      </x:c>
      <x:c r="E1" s="14" t="str">
        <x:v>Publication / outlet</x:v>
      </x:c>
      <x:c r="F1" s="14" t="str">
        <x:v>Publication type</x:v>
      </x:c>
      <x:c r="G1" s="14" t="str">
        <x:v>Formal analytical sample</x:v>
      </x:c>
      <x:c r="H1" s="14" t="str">
        <x:v>Final role</x:v>
      </x:c>
      <x:c r="I1" s="14" t="str">
        <x:v>Evidence level</x:v>
      </x:c>
      <x:c r="J1" s="14" t="str">
        <x:v>Implementation relevance</x:v>
      </x:c>
      <x:c r="K1" s="14" t="str">
        <x:v>Asia specificity</x:v>
      </x:c>
      <x:c r="L1" s="14" t="str">
        <x:v>Use in barrier synthesis</x:v>
      </x:c>
      <x:c r="M1" s="14" t="str">
        <x:v>Primary thesis chapters</x:v>
      </x:c>
      <x:c r="N1" s="14" t="str">
        <x:v>Inclusion / exclusion rationale</x:v>
      </x:c>
      <x:c r="O1" s="15" t="str">
        <x:v>Access / source link</x:v>
      </x:c>
    </x:row>
    <x:row r="2">
      <x:c r="A2" s="34" t="str">
        <x:v>A01</x:v>
      </x:c>
      <x:c r="B2" s="34" t="str">
        <x:v>Pedroletti &amp; Ciabuschi (2023)</x:v>
      </x:c>
      <x:c r="C2" s="34" t="n">
        <x:v>2023</x:v>
      </x:c>
      <x:c r="D2" s="34" t="str">
        <x:v>Reshoring: A Review and Research Agenda</x:v>
      </x:c>
      <x:c r="E2" s="34" t="str">
        <x:v>Journal of Business Research, 164, 114005</x:v>
      </x:c>
      <x:c r="F2" s="34" t="str">
        <x:v>Peer-reviewed review article</x:v>
      </x:c>
      <x:c r="G2" s="34" t="str">
        <x:v>Yes</x:v>
      </x:c>
      <x:c r="H2" s="34" t="str">
        <x:v>Core review/conceptual</x:v>
      </x:c>
      <x:c r="I2" s="34" t="str">
        <x:v>L2 — reshoring-related review/conceptual evidence</x:v>
      </x:c>
      <x:c r="J2" s="34" t="str">
        <x:v>High</x:v>
      </x:c>
      <x:c r="K2" s="34" t="str">
        <x:v>Low</x:v>
      </x:c>
      <x:c r="L2" s="34" t="str">
        <x:v>Yes — review/conceptual support</x:v>
      </x:c>
      <x:c r="M2" s="34" t="str">
        <x:v>Literature Review; Results support; Discussion</x:v>
      </x:c>
      <x:c r="N2" s="34" t="str">
        <x:v>Major synthesis of reshoring research and implementation stages; implementation is underexplored, but the source is not direct firm-level evidence.</x:v>
      </x:c>
      <x:c r="O2" s="34" t="str">
        <x:v>https://uu.diva-portal.org/smash/get/diva2%3A1771400/FULLTEXT01.pdf</x:v>
      </x:c>
    </x:row>
    <x:row r="3">
      <x:c r="A3" s="34" t="str">
        <x:v>A02</x:v>
      </x:c>
      <x:c r="B3" s="34" t="str">
        <x:v>Boffelli et al. (2021)</x:v>
      </x:c>
      <x:c r="C3" s="34" t="n">
        <x:v>2021</x:v>
      </x:c>
      <x:c r="D3" s="34" t="str">
        <x:v>Doing the Right Thing or Doing Things Right: What Is Better for a Successful Manufacturing Reshoring?</x:v>
      </x:c>
      <x:c r="E3" s="34" t="str">
        <x:v>Operations Management Research</x:v>
      </x:c>
      <x:c r="F3" s="34" t="str">
        <x:v>Peer-reviewed empirical multiple-case study</x:v>
      </x:c>
      <x:c r="G3" s="34" t="str">
        <x:v>Yes</x:v>
      </x:c>
      <x:c r="H3" s="34" t="str">
        <x:v>Core empirical</x:v>
      </x:c>
      <x:c r="I3" s="34" t="str">
        <x:v>L1 — direct implementation evidence</x:v>
      </x:c>
      <x:c r="J3" s="34" t="str">
        <x:v>High</x:v>
      </x:c>
      <x:c r="K3" s="34" t="str">
        <x:v>Medium</x:v>
      </x:c>
      <x:c r="L3" s="34" t="str">
        <x:v>Yes — direct empirical evidence</x:v>
      </x:c>
      <x:c r="M3" s="34" t="str">
        <x:v>Results; Discussion</x:v>
      </x:c>
      <x:c r="N3" s="34" t="str">
        <x:v>Direct evidence on reshoring implementation, operational adjustments, readiness and behavioural issues; some cases involve China.</x:v>
      </x:c>
      <x:c r="O3" s="34" t="str">
        <x:v>https://link.springer.com/article/10.1007/s12063-021-00183-2</x:v>
      </x:c>
    </x:row>
    <x:row r="4">
      <x:c r="A4" s="34" t="str">
        <x:v>A03</x:v>
      </x:c>
      <x:c r="B4" s="34" t="str">
        <x:v>Tsai &amp; Urmetzer (2024)</x:v>
      </x:c>
      <x:c r="C4" s="34" t="n">
        <x:v>2024</x:v>
      </x:c>
      <x:c r="D4" s="34" t="str">
        <x:v>A Decisional Framework for Manufacturing Relocation: Consolidating and Expanding the Reshoring Debate</x:v>
      </x:c>
      <x:c r="E4" s="34" t="str">
        <x:v>International Journal of Management Reviews</x:v>
      </x:c>
      <x:c r="F4" s="34" t="str">
        <x:v>Peer-reviewed integrative review/framework</x:v>
      </x:c>
      <x:c r="G4" s="34" t="str">
        <x:v>Yes</x:v>
      </x:c>
      <x:c r="H4" s="34" t="str">
        <x:v>Core review/conceptual</x:v>
      </x:c>
      <x:c r="I4" s="34" t="str">
        <x:v>L2 — review/conceptual evidence</x:v>
      </x:c>
      <x:c r="J4" s="34" t="str">
        <x:v>Medium</x:v>
      </x:c>
      <x:c r="K4" s="34" t="str">
        <x:v>Low</x:v>
      </x:c>
      <x:c r="L4" s="34" t="str">
        <x:v>Limited — conceptual/decision support</x:v>
      </x:c>
      <x:c r="M4" s="34" t="str">
        <x:v>Literature Review; Discussion</x:v>
      </x:c>
      <x:c r="N4" s="34" t="str">
        <x:v>Strong framework and terminology source, but it is primarily decision-oriented and not direct evidence of Asia-to-home implementation barriers.</x:v>
      </x:c>
      <x:c r="O4" s="34" t="str">
        <x:v>https://onlinelibrary.wiley.com/doi/full/10.1111/ijmr.12352</x:v>
      </x:c>
    </x:row>
    <x:row r="5">
      <x:c r="A5" s="34" t="str">
        <x:v>A04</x:v>
      </x:c>
      <x:c r="B5" s="34" t="str">
        <x:v>Di Mauro et al. (2018)</x:v>
      </x:c>
      <x:c r="C5" s="34" t="n">
        <x:v>2018</x:v>
      </x:c>
      <x:c r="D5" s="34" t="str">
        <x:v>Offshoring and Backshoring: A Multiple Case Study Analysis</x:v>
      </x:c>
      <x:c r="E5" s="34" t="str">
        <x:v>Journal of Purchasing and Supply Management, 24(2), 108–134</x:v>
      </x:c>
      <x:c r="F5" s="34" t="str">
        <x:v>Peer-reviewed multiple-case study</x:v>
      </x:c>
      <x:c r="G5" s="34" t="str">
        <x:v>Yes</x:v>
      </x:c>
      <x:c r="H5" s="34" t="str">
        <x:v>Supporting empirical</x:v>
      </x:c>
      <x:c r="I5" s="34" t="str">
        <x:v>L2 — reshoring-related empirical evidence with limited L1 findings</x:v>
      </x:c>
      <x:c r="J5" s="34" t="str">
        <x:v>Medium</x:v>
      </x:c>
      <x:c r="K5" s="34" t="str">
        <x:v>Medium</x:v>
      </x:c>
      <x:c r="L5" s="34" t="str">
        <x:v>Yes — limited direct empirical evidence</x:v>
      </x:c>
      <x:c r="M5" s="34" t="str">
        <x:v>Results; Discussion</x:v>
      </x:c>
      <x:c r="N5" s="34" t="str">
        <x:v>Primarily examines drivers and strategy, but provides direct evidence on domestic competence and skilled-labour constraints, including a China-related case.</x:v>
      </x:c>
      <x:c r="O5" s="34" t="str">
        <x:v>https://www.sciencedirect.com/science/article/pii/S1478409217300444</x:v>
      </x:c>
    </x:row>
    <x:row r="6">
      <x:c r="A6" s="34" t="str">
        <x:v>A05</x:v>
      </x:c>
      <x:c r="B6" s="34" t="str">
        <x:v>Wan et al. (2019)</x:v>
      </x:c>
      <x:c r="C6" s="34" t="n">
        <x:v>2019</x:v>
      </x:c>
      <x:c r="D6" s="34" t="str">
        <x:v>Reshoring: Does Home Country Matter?</x:v>
      </x:c>
      <x:c r="E6" s="34" t="str">
        <x:v>Journal of Purchasing and Supply Management, 25(4), 100551</x:v>
      </x:c>
      <x:c r="F6" s="34" t="str">
        <x:v>Peer-reviewed quantitative secondary-data study</x:v>
      </x:c>
      <x:c r="G6" s="34" t="str">
        <x:v>Yes</x:v>
      </x:c>
      <x:c r="H6" s="34" t="str">
        <x:v>Supporting empirical</x:v>
      </x:c>
      <x:c r="I6" s="34" t="str">
        <x:v>L2 — reshoring-related empirical evidence</x:v>
      </x:c>
      <x:c r="J6" s="34" t="str">
        <x:v>Low</x:v>
      </x:c>
      <x:c r="K6" s="34" t="str">
        <x:v>Low</x:v>
      </x:c>
      <x:c r="L6" s="34" t="str">
        <x:v>No — drivers and home-country effects only</x:v>
      </x:c>
      <x:c r="M6" s="34" t="str">
        <x:v>Introduction; Literature Review; Discussion</x:v>
      </x:c>
      <x:c r="N6" s="34" t="str">
        <x:v>Useful for home-country effects and drivers, but it does not observe implementation barriers and should not enter direct barrier counts.</x:v>
      </x:c>
      <x:c r="O6" s="34" t="str">
        <x:v>https://www.sciencedirect.com/science/article/pii/S147840921830205X</x:v>
      </x:c>
    </x:row>
    <x:row r="7">
      <x:c r="A7" s="34" t="str">
        <x:v>A06</x:v>
      </x:c>
      <x:c r="B7" s="34" t="str">
        <x:v>Wiesmann et al. (2017)</x:v>
      </x:c>
      <x:c r="C7" s="34" t="n">
        <x:v>2017</x:v>
      </x:c>
      <x:c r="D7" s="34" t="str">
        <x:v>Drivers and Barriers to Reshoring: A Literature Review on Offshoring in Reverse</x:v>
      </x:c>
      <x:c r="E7" s="34" t="str">
        <x:v>European Business Review, 29(1), 15–42</x:v>
      </x:c>
      <x:c r="F7" s="34" t="str">
        <x:v>Peer-reviewed literature review</x:v>
      </x:c>
      <x:c r="G7" s="34" t="str">
        <x:v>Yes</x:v>
      </x:c>
      <x:c r="H7" s="34" t="str">
        <x:v>Core review/conceptual</x:v>
      </x:c>
      <x:c r="I7" s="34" t="str">
        <x:v>L2 — review evidence</x:v>
      </x:c>
      <x:c r="J7" s="34" t="str">
        <x:v>High</x:v>
      </x:c>
      <x:c r="K7" s="34" t="str">
        <x:v>Medium</x:v>
      </x:c>
      <x:c r="L7" s="34" t="str">
        <x:v>Yes — review evidence</x:v>
      </x:c>
      <x:c r="M7" s="34" t="str">
        <x:v>Literature Review; Results support; Discussion</x:v>
      </x:c>
      <x:c r="N7" s="34" t="str">
        <x:v>Central barrier review covering capacity, competences, labour, supplier dependence, infrastructure and decision-process problems; evidence remains review-level.</x:v>
      </x:c>
      <x:c r="O7" s="34" t="str">
        <x:v>https://www.emerald.com/ebr/article-abstract/29/1/15/47919/Drivers-and-barriers-to-reshoring-a-literature</x:v>
      </x:c>
    </x:row>
    <x:row r="8">
      <x:c r="A8" s="34" t="str">
        <x:v>A07</x:v>
      </x:c>
      <x:c r="B8" s="34" t="str">
        <x:v>Espíndola et al. (2023)</x:v>
      </x:c>
      <x:c r="C8" s="34" t="n">
        <x:v>2023</x:v>
      </x:c>
      <x:c r="D8" s="34" t="str">
        <x:v>Systematic Literature Review in Reshoring Strategies 4.0</x:v>
      </x:c>
      <x:c r="E8" s="34" t="str">
        <x:v>Logistics, 7(3), 42</x:v>
      </x:c>
      <x:c r="F8" s="34" t="str">
        <x:v>Peer-reviewed systematic literature review</x:v>
      </x:c>
      <x:c r="G8" s="34" t="str">
        <x:v>Yes</x:v>
      </x:c>
      <x:c r="H8" s="34" t="str">
        <x:v>Supporting review/conceptual</x:v>
      </x:c>
      <x:c r="I8" s="34" t="str">
        <x:v>L2 — review evidence</x:v>
      </x:c>
      <x:c r="J8" s="34" t="str">
        <x:v>Medium</x:v>
      </x:c>
      <x:c r="K8" s="34" t="str">
        <x:v>Medium</x:v>
      </x:c>
      <x:c r="L8" s="34" t="str">
        <x:v>Yes — review evidence</x:v>
      </x:c>
      <x:c r="M8" s="34" t="str">
        <x:v>Literature Review; Discussion</x:v>
      </x:c>
      <x:c r="N8" s="34" t="str">
        <x:v>Supports Industry 4.0, technology-readiness and implementation-cost themes, but does not provide direct firm-level implementation evidence.</x:v>
      </x:c>
      <x:c r="O8" s="34" t="str">
        <x:v>https://www.mdpi.com/2305-6290/7/3/42</x:v>
      </x:c>
    </x:row>
    <x:row r="9">
      <x:c r="A9" s="34" t="str">
        <x:v>A08</x:v>
      </x:c>
      <x:c r="B9" s="34" t="str">
        <x:v>Bolter &amp; Robey (2020)</x:v>
      </x:c>
      <x:c r="C9" s="34" t="n">
        <x:v>2020</x:v>
      </x:c>
      <x:c r="D9" s="34" t="str">
        <x:v>Strategic Reshoring: A Literature Review</x:v>
      </x:c>
      <x:c r="E9" s="34" t="str">
        <x:v>W.E. Upjohn Institute report</x:v>
      </x:c>
      <x:c r="F9" s="34" t="str">
        <x:v>Non-journal research report</x:v>
      </x:c>
      <x:c r="G9" s="34" t="str">
        <x:v>No</x:v>
      </x:c>
      <x:c r="H9" s="34" t="str">
        <x:v>Policy/report background</x:v>
      </x:c>
      <x:c r="I9" s="34" t="str">
        <x:v>L3 — contextual/background evidence</x:v>
      </x:c>
      <x:c r="J9" s="34" t="str">
        <x:v>Low</x:v>
      </x:c>
      <x:c r="K9" s="34" t="str">
        <x:v>Low</x:v>
      </x:c>
      <x:c r="L9" s="34" t="str">
        <x:v>No</x:v>
      </x:c>
      <x:c r="M9" s="34" t="str">
        <x:v>Introduction; Background</x:v>
      </x:c>
      <x:c r="N9" s="34" t="str">
        <x:v>Useful for US policy and total-cost context, but it is not a peer-reviewed journal article and remains outside the formal analytical sample.</x:v>
      </x:c>
      <x:c r="O9" s="34" t="str">
        <x:v>https://research.upjohn.org/cgi/viewcontent.cgi?article=1257&amp;context=reports</x:v>
      </x:c>
    </x:row>
    <x:row r="10">
      <x:c r="A10" s="34" t="str">
        <x:v>A09</x:v>
      </x:c>
      <x:c r="B10" s="34" t="str">
        <x:v>Li et al. (2025)</x:v>
      </x:c>
      <x:c r="C10" s="34" t="n">
        <x:v>2025</x:v>
      </x:c>
      <x:c r="D10" s="34" t="str">
        <x:v>Exploring Drivers, Barriers and Enablers for Manufacturing Reshoring in the Nordic Countries</x:v>
      </x:c>
      <x:c r="E10" s="34" t="str">
        <x:v>Review of International Business and Strategy, 35(5), 583–612</x:v>
      </x:c>
      <x:c r="F10" s="34" t="str">
        <x:v>Peer-reviewed qualitative empirical study with review component</x:v>
      </x:c>
      <x:c r="G10" s="34" t="str">
        <x:v>Yes</x:v>
      </x:c>
      <x:c r="H10" s="34" t="str">
        <x:v>Core empirical</x:v>
      </x:c>
      <x:c r="I10" s="34" t="str">
        <x:v>L1 — direct implementation evidence (general); partial Asia specificity</x:v>
      </x:c>
      <x:c r="J10" s="34" t="str">
        <x:v>High</x:v>
      </x:c>
      <x:c r="K10" s="34" t="str">
        <x:v>Medium</x:v>
      </x:c>
      <x:c r="L10" s="34" t="str">
        <x:v>Yes — direct empirical evidence</x:v>
      </x:c>
      <x:c r="M10" s="34" t="str">
        <x:v>Results; Discussion</x:v>
      </x:c>
      <x:c r="N10" s="34" t="str">
        <x:v>Strong empirical barrier source across Nordic firms; China-specific claims must be limited to findings explicitly tied to China.</x:v>
      </x:c>
      <x:c r="O10" s="34" t="str">
        <x:v>https://www.emerald.com/ribs/article/35/5/583/1265508</x:v>
      </x:c>
    </x:row>
    <x:row r="11">
      <x:c r="A11" s="34" t="str">
        <x:v>A10</x:v>
      </x:c>
      <x:c r="B11" s="34" t="str">
        <x:v>Di Stefano &amp; Fratocchi (2019)</x:v>
      </x:c>
      <x:c r="C11" s="34" t="n">
        <x:v>2019</x:v>
      </x:c>
      <x:c r="D11" s="34" t="str">
        <x:v>Manufacturing Back-shoring and Sustainability: A Literature Review</x:v>
      </x:c>
      <x:c r="E11" s="34" t="str">
        <x:v>Sinergie Italian Journal of Management, 37(2), 119–143</x:v>
      </x:c>
      <x:c r="F11" s="34" t="str">
        <x:v>Peer-reviewed literature review</x:v>
      </x:c>
      <x:c r="G11" s="34" t="str">
        <x:v>Yes</x:v>
      </x:c>
      <x:c r="H11" s="34" t="str">
        <x:v>Supporting review/conceptual</x:v>
      </x:c>
      <x:c r="I11" s="34" t="str">
        <x:v>L2 — review evidence</x:v>
      </x:c>
      <x:c r="J11" s="34" t="str">
        <x:v>Medium</x:v>
      </x:c>
      <x:c r="K11" s="34" t="str">
        <x:v>Low–Medium</x:v>
      </x:c>
      <x:c r="L11" s="34" t="str">
        <x:v>Yes — review evidence</x:v>
      </x:c>
      <x:c r="M11" s="34" t="str">
        <x:v>Literature Review; Results support; Discussion</x:v>
      </x:c>
      <x:c r="N11" s="34" t="str">
        <x:v>Supports regulatory, social and sustainability-related exit constraints; sensitive claims require checking the primary studies cited by the review.</x:v>
      </x:c>
      <x:c r="O11" s="34" t="str">
        <x:v>https://www.ojs.sijm.it/index.php/sinergie/article/view/753</x:v>
      </x:c>
    </x:row>
    <x:row r="12">
      <x:c r="A12" s="34" t="str">
        <x:v>A11</x:v>
      </x:c>
      <x:c r="B12" s="34" t="str">
        <x:v>Ocicka (2016)</x:v>
      </x:c>
      <x:c r="C12" s="34" t="n">
        <x:v>2016</x:v>
      </x:c>
      <x:c r="D12" s="34" t="str">
        <x:v>Reshoring: Implementation Issues and Research Opportunities</x:v>
      </x:c>
      <x:c r="E12" s="34" t="str">
        <x:v>Management, 20(2), 103–118</x:v>
      </x:c>
      <x:c r="F12" s="34" t="str">
        <x:v>Peer-reviewed conceptual/review article</x:v>
      </x:c>
      <x:c r="G12" s="34" t="str">
        <x:v>Yes</x:v>
      </x:c>
      <x:c r="H12" s="34" t="str">
        <x:v>Supporting review/conceptual</x:v>
      </x:c>
      <x:c r="I12" s="34" t="str">
        <x:v>L2 — conceptual reshoring evidence</x:v>
      </x:c>
      <x:c r="J12" s="34" t="str">
        <x:v>Medium</x:v>
      </x:c>
      <x:c r="K12" s="34" t="str">
        <x:v>Low</x:v>
      </x:c>
      <x:c r="L12" s="34" t="str">
        <x:v>Limited — conceptual support</x:v>
      </x:c>
      <x:c r="M12" s="34" t="str">
        <x:v>Introduction; Literature Review; Discussion</x:v>
      </x:c>
      <x:c r="N12" s="34" t="str">
        <x:v>Useful for definitions, hidden costs and supply-chain context; limited direct implementation evidence and not Asia-specific.</x:v>
      </x:c>
      <x:c r="O12" s="34" t="str">
        <x:v>https://www.management-poland.com/pdf-157788-83956?filename=83956.pdf</x:v>
      </x:c>
    </x:row>
    <x:row r="13">
      <x:c r="A13" s="34" t="str">
        <x:v>A12</x:v>
      </x:c>
      <x:c r="B13" s="34" t="str">
        <x:v>Stentoft et al. (2025)</x:v>
      </x:c>
      <x:c r="C13" s="34" t="n">
        <x:v>2025</x:v>
      </x:c>
      <x:c r="D13" s="34" t="str">
        <x:v>Reshoring Manufacturing: The Influence of Industry 4.0, COVID-19, and Made-in Effects</x:v>
      </x:c>
      <x:c r="E13" s="34" t="str">
        <x:v>Operations Management Research, 18(1), 353–372</x:v>
      </x:c>
      <x:c r="F13" s="34" t="str">
        <x:v>Peer-reviewed quantitative survey</x:v>
      </x:c>
      <x:c r="G13" s="34" t="str">
        <x:v>Yes</x:v>
      </x:c>
      <x:c r="H13" s="34" t="str">
        <x:v>Supporting empirical</x:v>
      </x:c>
      <x:c r="I13" s="34" t="str">
        <x:v>L2 — decision/outcome empirical evidence</x:v>
      </x:c>
      <x:c r="J13" s="34" t="str">
        <x:v>Low</x:v>
      </x:c>
      <x:c r="K13" s="34" t="str">
        <x:v>Low</x:v>
      </x:c>
      <x:c r="L13" s="34" t="str">
        <x:v>No — intention and decision evidence</x:v>
      </x:c>
      <x:c r="M13" s="34" t="str">
        <x:v>Introduction; Literature Review; Discussion</x:v>
      </x:c>
      <x:c r="N13" s="34" t="str">
        <x:v>Useful for reshoring intentions, actual reshoring and technology context, but host countries are aggregated and implementation barriers are not directly measured.</x:v>
      </x:c>
      <x:c r="O13" s="34" t="str">
        <x:v>https://link.springer.com/article/10.1007/s12063-024-00504-1</x:v>
      </x:c>
    </x:row>
    <x:row r="14">
      <x:c r="A14" s="34" t="str">
        <x:v>A13</x:v>
      </x:c>
      <x:c r="B14" s="34" t="str">
        <x:v>Pegoraro et al. (2022)</x:v>
      </x:c>
      <x:c r="C14" s="34" t="n">
        <x:v>2022</x:v>
      </x:c>
      <x:c r="D14" s="34" t="str">
        <x:v>Regional Factors Enabling Manufacturing Reshoring Strategies: A Case Study Perspective</x:v>
      </x:c>
      <x:c r="E14" s="34" t="str">
        <x:v>Journal of International Business Policy, 5, 112–133</x:v>
      </x:c>
      <x:c r="F14" s="34" t="str">
        <x:v>Peer-reviewed single-case empirical study</x:v>
      </x:c>
      <x:c r="G14" s="34" t="str">
        <x:v>Yes</x:v>
      </x:c>
      <x:c r="H14" s="34" t="str">
        <x:v>Core empirical</x:v>
      </x:c>
      <x:c r="I14" s="34" t="str">
        <x:v>L1 — direct Asia-specific implementation evidence</x:v>
      </x:c>
      <x:c r="J14" s="34" t="str">
        <x:v>High</x:v>
      </x:c>
      <x:c r="K14" s="34" t="str">
        <x:v>High</x:v>
      </x:c>
      <x:c r="L14" s="34" t="str">
        <x:v>Yes — direct empirical evidence</x:v>
      </x:c>
      <x:c r="M14" s="34" t="str">
        <x:v>Results; Discussion</x:v>
      </x:c>
      <x:c r="N14" s="34" t="str">
        <x:v>Major China-to-UK case with direct evidence on skills, machinery, training, ramp-up and regional ecosystem readiness.</x:v>
      </x:c>
      <x:c r="O14" s="34" t="str">
        <x:v>https://pmc.ncbi.nlm.nih.gov/articles/PMC8127427/</x:v>
      </x:c>
    </x:row>
    <x:row r="15">
      <x:c r="A15" s="34" t="str">
        <x:v>A14</x:v>
      </x:c>
      <x:c r="B15" s="34" t="str">
        <x:v>Pourhejazy &amp; Ashby (2021)</x:v>
      </x:c>
      <x:c r="C15" s="34" t="n">
        <x:v>2021</x:v>
      </x:c>
      <x:c r="D15" s="34" t="str">
        <x:v>Reshoring Decisions for Adjusting Supply Chains in a Changing World: A Case Study from the Apparel Industry</x:v>
      </x:c>
      <x:c r="E15" s="34" t="str">
        <x:v>International Journal of Environmental Research and Public Health, 18(9), 4873</x:v>
      </x:c>
      <x:c r="F15" s="34" t="str">
        <x:v>Peer-reviewed expert decision-analysis study</x:v>
      </x:c>
      <x:c r="G15" s="34" t="str">
        <x:v>Yes</x:v>
      </x:c>
      <x:c r="H15" s="34" t="str">
        <x:v>Supporting empirical</x:v>
      </x:c>
      <x:c r="I15" s="34" t="str">
        <x:v>L2 — decision-stage empirical evidence</x:v>
      </x:c>
      <x:c r="J15" s="34" t="str">
        <x:v>Low–Medium</x:v>
      </x:c>
      <x:c r="K15" s="34" t="str">
        <x:v>Low–Medium</x:v>
      </x:c>
      <x:c r="L15" s="34" t="str">
        <x:v>No — decision criteria, not implementation barriers</x:v>
      </x:c>
      <x:c r="M15" s="34" t="str">
        <x:v>Literature Review; Discussion</x:v>
      </x:c>
      <x:c r="N15" s="34" t="str">
        <x:v>Useful for supply-process complexity and reshoring decision criteria, but it does not observe a specific Asia-to-home implementation process.</x:v>
      </x:c>
      <x:c r="O15" s="34" t="str">
        <x:v>https://www.mdpi.com/1660-4601/18/9/4873</x:v>
      </x:c>
    </x:row>
    <x:row r="16">
      <x:c r="A16" s="34" t="str">
        <x:v>A15</x:v>
      </x:c>
      <x:c r="B16" s="34" t="str">
        <x:v>Robinson &amp; Hsieh (2016)</x:v>
      </x:c>
      <x:c r="C16" s="34" t="n">
        <x:v>2016</x:v>
      </x:c>
      <x:c r="D16" s="34" t="str">
        <x:v>Reshoring: A Strategic Renewal of Luxury Clothing Supply Chains</x:v>
      </x:c>
      <x:c r="E16" s="34" t="str">
        <x:v>Operations Management Research, 9(3–4), 89–101</x:v>
      </x:c>
      <x:c r="F16" s="34" t="str">
        <x:v>Peer-reviewed qualitative case study</x:v>
      </x:c>
      <x:c r="G16" s="34" t="str">
        <x:v>Yes</x:v>
      </x:c>
      <x:c r="H16" s="34" t="str">
        <x:v>Supporting empirical</x:v>
      </x:c>
      <x:c r="I16" s="34" t="str">
        <x:v>L2 — reshoring-related empirical evidence</x:v>
      </x:c>
      <x:c r="J16" s="34" t="str">
        <x:v>Medium</x:v>
      </x:c>
      <x:c r="K16" s="34" t="str">
        <x:v>Low</x:v>
      </x:c>
      <x:c r="L16" s="34" t="str">
        <x:v>Limited — provisional direct empirical support</x:v>
      </x:c>
      <x:c r="M16" s="34" t="str">
        <x:v>Literature Review; Results support; Discussion</x:v>
      </x:c>
      <x:c r="N16" s="34" t="str">
        <x:v>Strong for strategic renewal, provenance and design–manufacturing proximity; skills, machinery and cost constraints require careful attribution to the case evidence.</x:v>
      </x:c>
      <x:c r="O16" s="34" t="str">
        <x:v>https://link.springer.com/article/10.1007/s12063-016-0116-x</x:v>
      </x:c>
    </x:row>
    <x:row r="17">
      <x:c r="A17" s="34" t="str">
        <x:v>A16</x:v>
      </x:c>
      <x:c r="B17" s="34" t="str">
        <x:v>D’Ambrosio &amp; Lavoratori (2025)</x:v>
      </x:c>
      <x:c r="C17" s="34" t="n">
        <x:v>2025</x:v>
      </x:c>
      <x:c r="D17" s="34" t="str">
        <x:v>Reshoring to Survive? The Other Side of De-globalization</x:v>
      </x:c>
      <x:c r="E17" s="34" t="str">
        <x:v>Journal of Industrial and Business Economics, 52(4), 867–889</x:v>
      </x:c>
      <x:c r="F17" s="34" t="str">
        <x:v>Peer-reviewed conceptual article</x:v>
      </x:c>
      <x:c r="G17" s="34" t="str">
        <x:v>Yes</x:v>
      </x:c>
      <x:c r="H17" s="34" t="str">
        <x:v>Core review/conceptual</x:v>
      </x:c>
      <x:c r="I17" s="34" t="str">
        <x:v>L2 — conceptual evidence</x:v>
      </x:c>
      <x:c r="J17" s="34" t="str">
        <x:v>High</x:v>
      </x:c>
      <x:c r="K17" s="34" t="str">
        <x:v>Medium</x:v>
      </x:c>
      <x:c r="L17" s="34" t="str">
        <x:v>Yes — conceptual support</x:v>
      </x:c>
      <x:c r="M17" s="34" t="str">
        <x:v>Literature Review; Results support; Discussion</x:v>
      </x:c>
      <x:c r="N17" s="34" t="str">
        <x:v>Strong conceptual integration of sunk-cost inertia, domestic fixed costs, capabilities, automation thresholds and survival reshoring; no primary empirical data.</x:v>
      </x:c>
      <x:c r="O17" s="34" t="str">
        <x:v>https://link.springer.com/article/10.1007/s40812-025-00342-7</x:v>
      </x:c>
    </x:row>
    <x:row r="18">
      <x:c r="A18" s="34" t="str">
        <x:v>A17</x:v>
      </x:c>
      <x:c r="B18" s="34" t="str">
        <x:v>Bilbao-Ubillos et al. (2024)</x:v>
      </x:c>
      <x:c r="C18" s="34" t="n">
        <x:v>2024</x:v>
      </x:c>
      <x:c r="D18" s="34" t="str">
        <x:v>Industry 4.0, Servitization, and Reshoring: A Systematic Literature Review</x:v>
      </x:c>
      <x:c r="E18" s="34" t="str">
        <x:v>European Research on Management and Business Economics, 30(1), 100234</x:v>
      </x:c>
      <x:c r="F18" s="34" t="str">
        <x:v>Peer-reviewed systematic literature review</x:v>
      </x:c>
      <x:c r="G18" s="34" t="str">
        <x:v>Yes</x:v>
      </x:c>
      <x:c r="H18" s="34" t="str">
        <x:v>Supporting review/conceptual</x:v>
      </x:c>
      <x:c r="I18" s="34" t="str">
        <x:v>L2 — review evidence</x:v>
      </x:c>
      <x:c r="J18" s="34" t="str">
        <x:v>Medium</x:v>
      </x:c>
      <x:c r="K18" s="34" t="str">
        <x:v>Low</x:v>
      </x:c>
      <x:c r="L18" s="34" t="str">
        <x:v>Yes — review evidence</x:v>
      </x:c>
      <x:c r="M18" s="34" t="str">
        <x:v>Literature Review; Discussion</x:v>
      </x:c>
      <x:c r="N18" s="34" t="str">
        <x:v>Supports digital-skills, technology-adaptation, ecosystem and sunk-cost themes; not core Asia-specific evidence.</x:v>
      </x:c>
      <x:c r="O18" s="34" t="str">
        <x:v>https://www.sciencedirect.com/science/article/pii/S2444883423000219</x:v>
      </x:c>
    </x:row>
    <x:row r="19">
      <x:c r="A19" s="34" t="str">
        <x:v>A18</x:v>
      </x:c>
      <x:c r="B19" s="34" t="str">
        <x:v>Pedroletti (2025)</x:v>
      </x:c>
      <x:c r="C19" s="34" t="n">
        <x:v>2025</x:v>
      </x:c>
      <x:c r="D19" s="34" t="str">
        <x:v>Network Effects of Partial Reshoring in the Internationalization Process</x:v>
      </x:c>
      <x:c r="E19" s="34" t="str">
        <x:v>International Business Review, 34(3), 102401</x:v>
      </x:c>
      <x:c r="F19" s="34" t="str">
        <x:v>Peer-reviewed longitudinal qualitative case study</x:v>
      </x:c>
      <x:c r="G19" s="34" t="str">
        <x:v>Yes</x:v>
      </x:c>
      <x:c r="H19" s="34" t="str">
        <x:v>Core empirical</x:v>
      </x:c>
      <x:c r="I19" s="34" t="str">
        <x:v>L1 — direct Asia-specific implementation evidence</x:v>
      </x:c>
      <x:c r="J19" s="34" t="str">
        <x:v>High</x:v>
      </x:c>
      <x:c r="K19" s="34" t="str">
        <x:v>High</x:v>
      </x:c>
      <x:c r="L19" s="34" t="str">
        <x:v>Yes — direct empirical evidence</x:v>
      </x:c>
      <x:c r="M19" s="34" t="str">
        <x:v>Results; Discussion</x:v>
      </x:c>
      <x:c r="N19" s="34" t="str">
        <x:v>Major China-to-Italy partial-reshoring case showing supplier dependence, domestic know-how gaps, coordination burden and limits to full reshoring.</x:v>
      </x:c>
      <x:c r="O19" s="34" t="str">
        <x:v>https://www.sciencedirect.com/science/article/pii/S0969593125000149</x:v>
      </x:c>
    </x:row>
    <x:row r="20">
      <x:c r="A20" s="34" t="str">
        <x:v>A19</x:v>
      </x:c>
      <x:c r="B20" s="34" t="str">
        <x:v>Kamp &amp; Gibaja (2021)</x:v>
      </x:c>
      <x:c r="C20" s="34" t="n">
        <x:v>2021</x:v>
      </x:c>
      <x:c r="D20" s="34" t="str">
        <x:v>Adoption of Digital Technologies and Backshoring Decisions: Is There a Link?</x:v>
      </x:c>
      <x:c r="E20" s="34" t="str">
        <x:v>Operations Management Research, 14(3–4), 380–402</x:v>
      </x:c>
      <x:c r="F20" s="34" t="str">
        <x:v>Peer-reviewed survey and case study</x:v>
      </x:c>
      <x:c r="G20" s="34" t="str">
        <x:v>Yes</x:v>
      </x:c>
      <x:c r="H20" s="34" t="str">
        <x:v>Supporting empirical</x:v>
      </x:c>
      <x:c r="I20" s="34" t="str">
        <x:v>L2 — decision-stage empirical evidence</x:v>
      </x:c>
      <x:c r="J20" s="34" t="str">
        <x:v>Low</x:v>
      </x:c>
      <x:c r="K20" s="34" t="str">
        <x:v>Medium</x:v>
      </x:c>
      <x:c r="L20" s="34" t="str">
        <x:v>No — decision-stage evidence</x:v>
      </x:c>
      <x:c r="M20" s="34" t="str">
        <x:v>Literature Review; Discussion</x:v>
      </x:c>
      <x:c r="N20" s="34" t="str">
        <x:v>Useful for the relationship between Industry 4.0 and backshoring decisions and for host-country drivers, but it adds no direct implementation barriers.</x:v>
      </x:c>
      <x:c r="O20" s="34" t="str">
        <x:v>https://link.springer.com/article/10.1007/s12063-021-00202-2</x:v>
      </x:c>
    </x:row>
    <x:row r="21">
      <x:c r="A21" s="34" t="str">
        <x:v>A20</x:v>
      </x:c>
      <x:c r="B21" s="34" t="str">
        <x:v>Mirzaei et al. (2021)</x:v>
      </x:c>
      <x:c r="C21" s="34" t="n">
        <x:v>2021</x:v>
      </x:c>
      <x:c r="D21" s="34" t="str">
        <x:v>Challenges to Competitive Manufacturing in High-Cost Environments: Checklist and Insights from Swedish Manufacturing Firms</x:v>
      </x:c>
      <x:c r="E21" s="34" t="str">
        <x:v>Operations Management Research, 14(3–4), 272–292</x:v>
      </x:c>
      <x:c r="F21" s="34" t="str">
        <x:v>Peer-reviewed qualitative empirical study</x:v>
      </x:c>
      <x:c r="G21" s="34" t="str">
        <x:v>Yes</x:v>
      </x:c>
      <x:c r="H21" s="34" t="str">
        <x:v>Supporting empirical</x:v>
      </x:c>
      <x:c r="I21" s="34" t="str">
        <x:v>L2 — contextual implementation/reintegration evidence</x:v>
      </x:c>
      <x:c r="J21" s="34" t="str">
        <x:v>High</x:v>
      </x:c>
      <x:c r="K21" s="34" t="str">
        <x:v>Low</x:v>
      </x:c>
      <x:c r="L21" s="34" t="str">
        <x:v>Yes — direct empirical evidence (general home-country context)</x:v>
      </x:c>
      <x:c r="M21" s="34" t="str">
        <x:v>Results; Discussion</x:v>
      </x:c>
      <x:c r="N21" s="34" t="str">
        <x:v>Strong supporting evidence on skills, supplier networks, capacity, silos and high-cost production, but not direct Asia-to-home reshoring evidence.</x:v>
      </x:c>
      <x:c r="O21" s="34" t="str">
        <x:v>https://link.springer.com/article/10.1007/s12063-021-00193-0</x:v>
      </x:c>
    </x:row>
    <x:row r="22">
      <x:c r="A22" s="34" t="str">
        <x:v>A21</x:v>
      </x:c>
      <x:c r="B22" s="34" t="str">
        <x:v>Sequeira et al. (2021)</x:v>
      </x:c>
      <x:c r="C22" s="34" t="n">
        <x:v>2021</x:v>
      </x:c>
      <x:c r="D22" s="34" t="str">
        <x:v>AHP-based Support Tools for Initial Screening of Manufacturing Reshoring Decisions</x:v>
      </x:c>
      <x:c r="E22" s="34" t="str">
        <x:v>Journal of Global Operations and Strategic Sourcing, 14(3), 502–527</x:v>
      </x:c>
      <x:c r="F22" s="34" t="str">
        <x:v>Peer-reviewed decision-support/method article</x:v>
      </x:c>
      <x:c r="G22" s="34" t="str">
        <x:v>No</x:v>
      </x:c>
      <x:c r="H22" s="34" t="str">
        <x:v>Decision-support only</x:v>
      </x:c>
      <x:c r="I22" s="34" t="str">
        <x:v>L4 — methodological/decision-support evidence</x:v>
      </x:c>
      <x:c r="J22" s="34" t="str">
        <x:v>Low</x:v>
      </x:c>
      <x:c r="K22" s="34" t="str">
        <x:v>Low</x:v>
      </x:c>
      <x:c r="L22" s="34" t="str">
        <x:v>No</x:v>
      </x:c>
      <x:c r="M22" s="34" t="str">
        <x:v>Literature Review (decision tools)</x:v>
      </x:c>
      <x:c r="N22" s="34" t="str">
        <x:v>Valid reshoring decision-support study, but it validates an AHP tool rather than implementation barriers and is excluded from the formal barrier sample.</x:v>
      </x:c>
      <x:c r="O22" s="34" t="str">
        <x:v>https://www.emerald.com/jgoss/article/14/3/502/224735/AHP-based-support-tools-for-initial-screening-of</x:v>
      </x:c>
    </x:row>
    <x:row r="23">
      <x:c r="A23" s="34" t="str">
        <x:v>M01</x:v>
      </x:c>
      <x:c r="B23" s="34" t="str">
        <x:v>Snyder (2019)</x:v>
      </x:c>
      <x:c r="C23" s="34" t="n">
        <x:v>2019</x:v>
      </x:c>
      <x:c r="D23" s="34" t="str">
        <x:v>Literature Review as a Research Methodology: An Overview and Guidelines</x:v>
      </x:c>
      <x:c r="E23" s="34" t="str">
        <x:v>Journal of Business Research, 104, 333–339</x:v>
      </x:c>
      <x:c r="F23" s="34" t="str">
        <x:v>Peer-reviewed methodology article</x:v>
      </x:c>
      <x:c r="G23" s="34" t="str">
        <x:v>No</x:v>
      </x:c>
      <x:c r="H23" s="34" t="str">
        <x:v>Methodology</x:v>
      </x:c>
      <x:c r="I23" s="34" t="str">
        <x:v>L4 — methodological evidence</x:v>
      </x:c>
      <x:c r="J23" s="34" t="str">
        <x:v>N/A</x:v>
      </x:c>
      <x:c r="K23" s="34" t="str">
        <x:v>N/A</x:v>
      </x:c>
      <x:c r="L23" s="34" t="str">
        <x:v>No — methodology only</x:v>
      </x:c>
      <x:c r="M23" s="34" t="str">
        <x:v>Methodology</x:v>
      </x:c>
      <x:c r="N23" s="34" t="str">
        <x:v>Supports the overall literature-review design; it does not contribute reshoring barriers and is excluded from the analytical sample.</x:v>
      </x:c>
      <x:c r="O23" s="34" t="str">
        <x:v>https://www.sciencedirect.com/science/article/pii/S0148296319304564</x:v>
      </x:c>
    </x:row>
    <x:row r="24">
      <x:c r="A24" s="34" t="str">
        <x:v>C01</x:v>
      </x:c>
      <x:c r="B24" s="34" t="str">
        <x:v>Yang (2016)</x:v>
      </x:c>
      <x:c r="C24" s="34" t="n">
        <x:v>2016</x:v>
      </x:c>
      <x:c r="D24" s="34" t="str">
        <x:v>Relocating Labour-Intensive Manufacturing Firms from China to Southeast Asia: A Preliminary Investigation</x:v>
      </x:c>
      <x:c r="E24" s="34" t="str">
        <x:v>Bandung Journal of the Global South, 3(1), 1–13</x:v>
      </x:c>
      <x:c r="F24" s="34" t="str">
        <x:v>Peer-reviewed contextual empirical article</x:v>
      </x:c>
      <x:c r="G24" s="34" t="str">
        <x:v>No</x:v>
      </x:c>
      <x:c r="H24" s="34" t="str">
        <x:v>Background/context</x:v>
      </x:c>
      <x:c r="I24" s="34" t="str">
        <x:v>L5 — outside core reshoring scope</x:v>
      </x:c>
      <x:c r="J24" s="34" t="str">
        <x:v>N/A</x:v>
      </x:c>
      <x:c r="K24" s="34" t="str">
        <x:v>High context</x:v>
      </x:c>
      <x:c r="L24" s="34" t="str">
        <x:v>No — context only</x:v>
      </x:c>
      <x:c r="M24" s="34" t="str">
        <x:v>Introduction</x:v>
      </x:c>
      <x:c r="N24" s="34" t="str">
        <x:v>China-to-Southeast-Asia relocation is re-offshoring/China+1, not reshoring; use only to explain the Asian manufacturing context.</x:v>
      </x:c>
      <x:c r="O24" s="34" t="str">
        <x:v>https://brill.com/view/journals/bjgs/3/1/article-p1_2.xml</x:v>
      </x:c>
    </x:row>
    <x:row r="25">
      <x:c r="A25" s="34" t="str">
        <x:v>C02</x:v>
      </x:c>
      <x:c r="B25" s="34" t="str">
        <x:v>Xing et al. (2024)</x:v>
      </x:c>
      <x:c r="C25" s="34" t="n">
        <x:v>2024</x:v>
      </x:c>
      <x:c r="D25" s="34" t="str">
        <x:v>Substitution Effect of Asian Economies on China’s Industrial and Supply Chains: From the Perspective of Global Production Network</x:v>
      </x:c>
      <x:c r="E25" s="34" t="str">
        <x:v>Humanities and Social Sciences Communications, 11, 1304</x:v>
      </x:c>
      <x:c r="F25" s="34" t="str">
        <x:v>Peer-reviewed macro/context article</x:v>
      </x:c>
      <x:c r="G25" s="34" t="str">
        <x:v>No</x:v>
      </x:c>
      <x:c r="H25" s="34" t="str">
        <x:v>Background/context</x:v>
      </x:c>
      <x:c r="I25" s="34" t="str">
        <x:v>L5 — outside core reshoring scope</x:v>
      </x:c>
      <x:c r="J25" s="34" t="str">
        <x:v>N/A</x:v>
      </x:c>
      <x:c r="K25" s="34" t="str">
        <x:v>High context</x:v>
      </x:c>
      <x:c r="L25" s="34" t="str">
        <x:v>No — context only</x:v>
      </x:c>
      <x:c r="M25" s="34" t="str">
        <x:v>Introduction</x:v>
      </x:c>
      <x:c r="N25" s="34" t="str">
        <x:v>Studies China+1, Altasia and regional substitution rather than a return to the home country; excluded from barrier coding.</x:v>
      </x:c>
      <x:c r="O25" s="34" t="str">
        <x:v>https://www.nature.com/articles/s41599-024-03797-6</x:v>
      </x:c>
    </x:row>
    <x:row r="26">
      <x:c r="A26" s="34" t="str">
        <x:v>A25</x:v>
      </x:c>
      <x:c r="B26" s="34" t="str">
        <x:v>Gupta et al. (2023)</x:v>
      </x:c>
      <x:c r="C26" s="34" t="n">
        <x:v>2023</x:v>
      </x:c>
      <x:c r="D26" s="34" t="str">
        <x:v>Reshoring: A Road to Industry 4.0 Transformation</x:v>
      </x:c>
      <x:c r="E26" s="34" t="str">
        <x:v>British Journal of Management, 34(3), 1081–1099</x:v>
      </x:c>
      <x:c r="F26" s="34" t="str">
        <x:v>Peer-reviewed conceptual article with secondary marketplace cases</x:v>
      </x:c>
      <x:c r="G26" s="34" t="str">
        <x:v>Yes</x:v>
      </x:c>
      <x:c r="H26" s="34" t="str">
        <x:v>Supporting review/conceptual</x:v>
      </x:c>
      <x:c r="I26" s="34" t="str">
        <x:v>L2 — conceptual/review evidence</x:v>
      </x:c>
      <x:c r="J26" s="34" t="str">
        <x:v>Medium</x:v>
      </x:c>
      <x:c r="K26" s="34" t="str">
        <x:v>Medium</x:v>
      </x:c>
      <x:c r="L26" s="34" t="str">
        <x:v>Yes — conceptual/review support</x:v>
      </x:c>
      <x:c r="M26" s="34" t="str">
        <x:v>Literature Review; Discussion</x:v>
      </x:c>
      <x:c r="N26" s="34" t="str">
        <x:v>Useful for Industry 4.0, labour, infrastructure, knowledge transfer and regulatory requirements; marketplace cases are secondary rather than direct field evidence.</x:v>
      </x:c>
      <x:c r="O26" s="34" t="str">
        <x:v>https://onlinelibrary.wiley.com/doi/full/10.1111/1467-8551.12731</x:v>
      </x:c>
    </x:row>
    <x:row r="27">
      <x:c r="A27" s="34" t="str">
        <x:v>C03</x:v>
      </x:c>
      <x:c r="B27" s="34" t="str">
        <x:v>Gao et al. (2022)</x:v>
      </x:c>
      <x:c r="C27" s="34" t="n">
        <x:v>2022</x:v>
      </x:c>
      <x:c r="D27" s="34" t="str">
        <x:v>Offshore, Re-shore, Re-offshore: What Happened to Global Manufacturing Location between 2007 and 2014?</x:v>
      </x:c>
      <x:c r="E27" s="34" t="str">
        <x:v>Cambridge Journal of Regions, Economy and Society, 15(2), 183–206</x:v>
      </x:c>
      <x:c r="F27" s="34" t="str">
        <x:v>Peer-reviewed quantitative macro study</x:v>
      </x:c>
      <x:c r="G27" s="34" t="str">
        <x:v>No</x:v>
      </x:c>
      <x:c r="H27" s="34" t="str">
        <x:v>Background/context</x:v>
      </x:c>
      <x:c r="I27" s="34" t="str">
        <x:v>L3 — macro empirical/contextual evidence</x:v>
      </x:c>
      <x:c r="J27" s="34" t="str">
        <x:v>Low</x:v>
      </x:c>
      <x:c r="K27" s="34" t="str">
        <x:v>Medium</x:v>
      </x:c>
      <x:c r="L27" s="34" t="str">
        <x:v>No — macro patterns only</x:v>
      </x:c>
      <x:c r="M27" s="34" t="str">
        <x:v>Introduction; Literature Review; Discussion</x:v>
      </x:c>
      <x:c r="N27" s="34" t="str">
        <x:v>Strong for relocation magnitude, sector intensity and proximity, but the unit of analysis is country–industry flows rather than firm-level implementation.</x:v>
      </x:c>
      <x:c r="O27" s="34" t="str">
        <x:v>https://academic.oup.com/cjres/article/15/2/183/6583328</x:v>
      </x:c>
    </x:row>
    <x:row r="28">
      <x:c r="A28" s="34" t="str">
        <x:v>C04</x:v>
      </x:c>
      <x:c r="B28" s="34" t="str">
        <x:v>Somoza Medina (2022)</x:v>
      </x:c>
      <x:c r="C28" s="34" t="n">
        <x:v>2022</x:v>
      </x:c>
      <x:c r="D28" s="34" t="str">
        <x:v>From Deindustrialization to a Reinforced Process of Reshoring in Europe: Another Effect of the COVID-19 Pandemic?</x:v>
      </x:c>
      <x:c r="E28" s="34" t="str">
        <x:v>Land, 11(12), 2109</x:v>
      </x:c>
      <x:c r="F28" s="34" t="str">
        <x:v>Peer-reviewed secondary-data/context study</x:v>
      </x:c>
      <x:c r="G28" s="34" t="str">
        <x:v>No</x:v>
      </x:c>
      <x:c r="H28" s="34" t="str">
        <x:v>Background/context</x:v>
      </x:c>
      <x:c r="I28" s="34" t="str">
        <x:v>L3 — contextual reshoring evidence</x:v>
      </x:c>
      <x:c r="J28" s="34" t="str">
        <x:v>Low</x:v>
      </x:c>
      <x:c r="K28" s="34" t="str">
        <x:v>Low–Medium</x:v>
      </x:c>
      <x:c r="L28" s="34" t="str">
        <x:v>No — context only</x:v>
      </x:c>
      <x:c r="M28" s="34" t="str">
        <x:v>Introduction; Discussion</x:v>
      </x:c>
      <x:c r="N28" s="34" t="str">
        <x:v>Useful for European deindustrialization, reindustrialization and energy-cost context; the scoring system mixes reshoring, domestic expansion and other relocation signals.</x:v>
      </x:c>
      <x:c r="O28" s="34" t="str">
        <x:v>https://www.mdpi.com/2073-445X/11/12/2109</x:v>
      </x:c>
    </x:row>
    <x:row r="29">
      <x:c r="A29" s="34" t="str">
        <x:v>C05</x:v>
      </x:c>
      <x:c r="B29" s="34" t="str">
        <x:v>McCully &amp; Simola (2024)</x:v>
      </x:c>
      <x:c r="C29" s="34" t="n">
        <x:v>2024</x:v>
      </x:c>
      <x:c r="D29" s="34" t="str">
        <x:v>Are Supply Chain Vulnerabilities Increasing in the Era of Geoeconomic Fragmentation?</x:v>
      </x:c>
      <x:c r="E29" s="34" t="str">
        <x:v>BOFIT Policy Brief 10/2024, Bank of Finland</x:v>
      </x:c>
      <x:c r="F29" s="34" t="str">
        <x:v>Non-journal policy brief/research report</x:v>
      </x:c>
      <x:c r="G29" s="34" t="str">
        <x:v>No</x:v>
      </x:c>
      <x:c r="H29" s="34" t="str">
        <x:v>Policy/report background</x:v>
      </x:c>
      <x:c r="I29" s="34" t="str">
        <x:v>L3 — macro contextual evidence</x:v>
      </x:c>
      <x:c r="J29" s="34" t="str">
        <x:v>Low</x:v>
      </x:c>
      <x:c r="K29" s="34" t="str">
        <x:v>High context</x:v>
      </x:c>
      <x:c r="L29" s="34" t="str">
        <x:v>No — context only</x:v>
      </x:c>
      <x:c r="M29" s="34" t="str">
        <x:v>Introduction; Discussion</x:v>
      </x:c>
      <x:c r="N29" s="34" t="str">
        <x:v>Useful for geoeconomic fragmentation, value-added rerouting and persistent China dependence, but it is not peer-reviewed firm-level reshoring evidence.</x:v>
      </x:c>
      <x:c r="O29" s="34" t="str">
        <x:v>https://www.econstor.eu/bitstream/10419/307141/1/1910819514.pdf</x:v>
      </x:c>
    </x:row>
    <x:row r="30">
      <x:c r="A30" s="34" t="str">
        <x:v>A29</x:v>
      </x:c>
      <x:c r="B30" s="34" t="str">
        <x:v>Heikkilä et al. (2018)</x:v>
      </x:c>
      <x:c r="C30" s="34" t="n">
        <x:v>2018</x:v>
      </x:c>
      <x:c r="D30" s="34" t="str">
        <x:v>Backshoring of Production in the Context of a Small and Open Nordic Economy</x:v>
      </x:c>
      <x:c r="E30" s="34" t="str">
        <x:v>Journal of Manufacturing Technology Management, 29(4), 658–675</x:v>
      </x:c>
      <x:c r="F30" s="34" t="str">
        <x:v>Peer-reviewed quantitative survey</x:v>
      </x:c>
      <x:c r="G30" s="34" t="str">
        <x:v>Yes</x:v>
      </x:c>
      <x:c r="H30" s="34" t="str">
        <x:v>Supporting empirical</x:v>
      </x:c>
      <x:c r="I30" s="34" t="str">
        <x:v>L2 — decision-stage empirical evidence</x:v>
      </x:c>
      <x:c r="J30" s="34" t="str">
        <x:v>Low</x:v>
      </x:c>
      <x:c r="K30" s="34" t="str">
        <x:v>Medium</x:v>
      </x:c>
      <x:c r="L30" s="34" t="str">
        <x:v>No — drivers and firm characteristics only</x:v>
      </x:c>
      <x:c r="M30" s="34" t="str">
        <x:v>Literature Review; Discussion</x:v>
      </x:c>
      <x:c r="N30" s="34" t="str">
        <x:v>Useful for Finnish backshoring extent, drivers, technology intensity and corporate location strategy, but not implementation barriers.</x:v>
      </x:c>
      <x:c r="O30" s="34" t="str">
        <x:v>https://www.researchgate.net/profile/Jussi-Heikkillae/publication/322258572_Backshoring_of_production_in_the_context_of_a_small_and_open_Nordic_economy/links/5a9048a60f7e9ba4296b9435/Backshoring-of-production-in-the-context-of-a-small-and-open-Nordic-economy.pdf</x:v>
      </x:c>
    </x:row>
    <x:row r="31">
      <x:c r="A31" s="34" t="str">
        <x:v>M02</x:v>
      </x:c>
      <x:c r="B31" s="34" t="str">
        <x:v>Thomas &amp; Harden (2008)</x:v>
      </x:c>
      <x:c r="C31" s="34" t="n">
        <x:v>2008</x:v>
      </x:c>
      <x:c r="D31" s="34" t="str">
        <x:v>Methods for the Thematic Synthesis of Qualitative Research in Systematic Reviews</x:v>
      </x:c>
      <x:c r="E31" s="34" t="str">
        <x:v>BMC Medical Research Methodology, 8, 45</x:v>
      </x:c>
      <x:c r="F31" s="34" t="str">
        <x:v>Peer-reviewed methodology article</x:v>
      </x:c>
      <x:c r="G31" s="34" t="str">
        <x:v>No</x:v>
      </x:c>
      <x:c r="H31" s="34" t="str">
        <x:v>Methodology</x:v>
      </x:c>
      <x:c r="I31" s="34" t="str">
        <x:v>L4 — methodological evidence</x:v>
      </x:c>
      <x:c r="J31" s="34" t="str">
        <x:v>N/A</x:v>
      </x:c>
      <x:c r="K31" s="34" t="str">
        <x:v>N/A</x:v>
      </x:c>
      <x:c r="L31" s="34" t="str">
        <x:v>No — methodology only</x:v>
      </x:c>
      <x:c r="M31" s="34" t="str">
        <x:v>Methodology</x:v>
      </x:c>
      <x:c r="N31" s="34" t="str">
        <x:v>Supports line-by-line coding, descriptive themes and analytical themes; excluded from the reshoring analytical sample.</x:v>
      </x:c>
      <x:c r="O31" s="34" t="str">
        <x:v>https://link.springer.com/article/10.1186/1471-2288-8-45</x:v>
      </x:c>
    </x:row>
    <x:row r="32">
      <x:c r="A32" s="34" t="str">
        <x:v>M03</x:v>
      </x:c>
      <x:c r="B32" s="34" t="str">
        <x:v>Page et al. (2021) — PRISMA Statement</x:v>
      </x:c>
      <x:c r="C32" s="34" t="n">
        <x:v>2021</x:v>
      </x:c>
      <x:c r="D32" s="34" t="str">
        <x:v>The PRISMA 2020 Statement: An Updated Guideline for Reporting Systematic Reviews</x:v>
      </x:c>
      <x:c r="E32" s="34" t="str">
        <x:v>BMJ, 372, n71</x:v>
      </x:c>
      <x:c r="F32" s="34" t="str">
        <x:v>Peer-reviewed official reporting guideline</x:v>
      </x:c>
      <x:c r="G32" s="34" t="str">
        <x:v>No</x:v>
      </x:c>
      <x:c r="H32" s="34" t="str">
        <x:v>Methodology</x:v>
      </x:c>
      <x:c r="I32" s="34" t="str">
        <x:v>L4 — methodological/reporting evidence</x:v>
      </x:c>
      <x:c r="J32" s="34" t="str">
        <x:v>N/A</x:v>
      </x:c>
      <x:c r="K32" s="34" t="str">
        <x:v>N/A</x:v>
      </x:c>
      <x:c r="L32" s="34" t="str">
        <x:v>No — methodology only</x:v>
      </x:c>
      <x:c r="M32" s="34" t="str">
        <x:v>Methodology</x:v>
      </x:c>
      <x:c r="N32" s="34" t="str">
        <x:v>Provides the PRISMA 2020 checklist and flow diagram for transparent reporting of identification, screening and inclusion.</x:v>
      </x:c>
      <x:c r="O32" s="34" t="str">
        <x:v>https://www.bmj.com/content/372/bmj.n71.short</x:v>
      </x:c>
    </x:row>
    <x:row r="33">
      <x:c r="A33" s="34" t="str">
        <x:v>M04</x:v>
      </x:c>
      <x:c r="B33" s="34" t="str">
        <x:v>Mayring (2014)</x:v>
      </x:c>
      <x:c r="C33" s="34" t="n">
        <x:v>2014</x:v>
      </x:c>
      <x:c r="D33" s="34" t="str">
        <x:v>Qualitative Content Analysis: Theoretical Foundation, Basic Procedures and Software Solution</x:v>
      </x:c>
      <x:c r="E33" s="34" t="str">
        <x:v>Klagenfurt, Austria; open methodological monograph</x:v>
      </x:c>
      <x:c r="F33" s="34" t="str">
        <x:v>Open methodological monograph</x:v>
      </x:c>
      <x:c r="G33" s="34" t="str">
        <x:v>No</x:v>
      </x:c>
      <x:c r="H33" s="34" t="str">
        <x:v>Methodology</x:v>
      </x:c>
      <x:c r="I33" s="34" t="str">
        <x:v>L4 — methodological evidence</x:v>
      </x:c>
      <x:c r="J33" s="34" t="str">
        <x:v>N/A</x:v>
      </x:c>
      <x:c r="K33" s="34" t="str">
        <x:v>N/A</x:v>
      </x:c>
      <x:c r="L33" s="34" t="str">
        <x:v>No — methodology only</x:v>
      </x:c>
      <x:c r="M33" s="34" t="str">
        <x:v>Methodology</x:v>
      </x:c>
      <x:c r="N33" s="34" t="str">
        <x:v>Supports systematic rule-bound coding and the hybrid deductive–inductive category-development procedure.</x:v>
      </x:c>
      <x:c r="O33" s="34" t="str">
        <x:v>Open PDF confirmed by the user; final stable URL to be inserted</x:v>
      </x:c>
    </x:row>
    <x:row r="34">
      <x:c r="A34" s="36" t="str">
        <x:v>M05</x:v>
      </x:c>
      <x:c r="B34" s="36" t="str">
        <x:v>Page et al. (2021) — PRISMA Explanation</x:v>
      </x:c>
      <x:c r="C34" s="36" t="n">
        <x:v>2021</x:v>
      </x:c>
      <x:c r="D34" s="36" t="str">
        <x:v>PRISMA 2020 Explanation and Elaboration: Updated Guidance and Exemplars for Reporting Systematic Reviews</x:v>
      </x:c>
      <x:c r="E34" s="36" t="str">
        <x:v>BMJ, 372, n160</x:v>
      </x:c>
      <x:c r="F34" s="36" t="str">
        <x:v>Peer-reviewed official reporting guidance</x:v>
      </x:c>
      <x:c r="G34" s="36" t="str">
        <x:v>No</x:v>
      </x:c>
      <x:c r="H34" s="36" t="str">
        <x:v>Methodology</x:v>
      </x:c>
      <x:c r="I34" s="36" t="str">
        <x:v>L4 — methodological/reporting evidence</x:v>
      </x:c>
      <x:c r="J34" s="36" t="str">
        <x:v>N/A</x:v>
      </x:c>
      <x:c r="K34" s="36" t="str">
        <x:v>N/A</x:v>
      </x:c>
      <x:c r="L34" s="36" t="str">
        <x:v>No — methodology only</x:v>
      </x:c>
      <x:c r="M34" s="36" t="str">
        <x:v>Methodology</x:v>
      </x:c>
      <x:c r="N34" s="36" t="str">
        <x:v>Explains each PRISMA item and provides detailed reporting recommendations and examples; companion to the PRISMA Statement.</x:v>
      </x:c>
      <x:c r="O34" s="36" t="str">
        <x:v>https://doi.org/10.1136/bmj.n160</x:v>
      </x:c>
    </x:row>
  </x:sheetData>
  <x:conditionalFormatting sqref="G2:G34">
    <x:cfRule type="expression" dxfId="0" priority="1">
      <x:formula>G2="Yes"</x:formula>
    </x:cfRule>
    <x:cfRule type="expression" dxfId="1" priority="2">
      <x:formula>G2="No"</x:formula>
    </x:cfRule>
  </x:conditionalFormatting>
  <x:conditionalFormatting sqref="H2:H34">
    <x:cfRule type="expression" dxfId="2" priority="3">
      <x:formula>H2="Core empirical"</x:formula>
    </x:cfRule>
    <x:cfRule type="expression" dxfId="3" priority="4">
      <x:formula>H2="Methodology"</x:formula>
    </x:cfRule>
  </x:conditionalFormatting>
  <x:conditionalFormatting sqref="J2:J34">
    <x:cfRule type="expression" dxfId="4" priority="5">
      <x:formula>J2="High"</x:formula>
    </x:cfRule>
  </x:conditionalFormatting>
  <x:conditionalFormatting sqref="K2:K34">
    <x:cfRule type="expression" dxfId="5" priority="6">
      <x:formula>K2="High"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23dda6eb654a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0" hidden="0" customWidth="1"/>
    <x:col min="4" max="4" width="22" hidden="0" customWidth="1"/>
    <x:col min="5" max="5" width="22" hidden="0" customWidth="1"/>
    <x:col min="3" max="3" width="22" hidden="0" customWidth="1"/>
    <x:col min="6" max="6" width="22" hidden="0" customWidth="1"/>
  </x:cols>
  <x:sheetData>
    <x:row r="1" ht="30" customHeight="1">
      <x:c r="A1" s="40" t="str">
        <x:v>Final Source Classification — Approved Corpus</x:v>
      </x:c>
    </x:row>
    <x:row r="3">
      <x:c r="A3" s="62" t="str">
        <x:v>KPI</x:v>
      </x:c>
      <x:c r="B3" s="63" t="str">
        <x:v>Count</x:v>
      </x:c>
      <x:c r="D3" s="62" t="str">
        <x:v>Final role</x:v>
      </x:c>
      <x:c r="E3" s="63" t="str">
        <x:v>Count</x:v>
      </x:c>
    </x:row>
    <x:row r="4">
      <x:c r="A4" s="64" t="str">
        <x:v>Total approved sources</x:v>
      </x:c>
      <x:c r="B4" s="65" t="n">
        <x:f>COUNTA('Final Classification'!A2:A34)</x:f>
        <x:v>33</x:v>
      </x:c>
      <x:c r="D4" s="64" t="str">
        <x:v>Core empirical</x:v>
      </x:c>
      <x:c r="E4" s="65" t="n">
        <x:f>COUNTIF('Final Classification'!H2:H34,D4)</x:f>
        <x:v>4</x:v>
      </x:c>
    </x:row>
    <x:row r="5">
      <x:c r="A5" s="64" t="str">
        <x:v>Formal analytical sample</x:v>
      </x:c>
      <x:c r="B5" s="65" t="n">
        <x:f>COUNTIF('Final Classification'!G2:G34,"Yes")</x:f>
        <x:v>21</x:v>
      </x:c>
      <x:c r="D5" s="64" t="str">
        <x:v>Core review/conceptual</x:v>
      </x:c>
      <x:c r="E5" s="65" t="n">
        <x:f>COUNTIF('Final Classification'!H2:H34,D5)</x:f>
        <x:v>4</x:v>
      </x:c>
    </x:row>
    <x:row r="6">
      <x:c r="A6" s="64" t="str">
        <x:v>Outside formal analytical sample</x:v>
      </x:c>
      <x:c r="B6" s="65" t="n">
        <x:f>COUNTIF('Final Classification'!G2:G34,"No")</x:f>
        <x:v>12</x:v>
      </x:c>
      <x:c r="D6" s="64" t="str">
        <x:v>Supporting empirical</x:v>
      </x:c>
      <x:c r="E6" s="65" t="n">
        <x:f>COUNTIF('Final Classification'!H2:H34,D6)</x:f>
        <x:v>8</x:v>
      </x:c>
    </x:row>
    <x:row r="7">
      <x:c r="A7" s="64" t="str">
        <x:v>Methodology sources</x:v>
      </x:c>
      <x:c r="B7" s="65" t="n">
        <x:f>COUNTIF('Final Classification'!H2:H34,"Methodology")</x:f>
        <x:v>5</x:v>
      </x:c>
      <x:c r="D7" s="64" t="str">
        <x:v>Supporting review/conceptual</x:v>
      </x:c>
      <x:c r="E7" s="65" t="n">
        <x:f>COUNTIF('Final Classification'!H2:H34,D7)</x:f>
        <x:v>5</x:v>
      </x:c>
    </x:row>
    <x:row r="8">
      <x:c r="A8" s="66" t="str">
        <x:v>Core empirical sources</x:v>
      </x:c>
      <x:c r="B8" s="67" t="n">
        <x:f>COUNTIF('Final Classification'!H2:H34,"Core empirical")</x:f>
        <x:v>4</x:v>
      </x:c>
      <x:c r="D8" s="64" t="str">
        <x:v>Background/context</x:v>
      </x:c>
      <x:c r="E8" s="65" t="n">
        <x:f>COUNTIF('Final Classification'!H2:H34,D8)</x:f>
        <x:v>4</x:v>
      </x:c>
    </x:row>
    <x:row r="9">
      <x:c r="D9" s="64" t="str">
        <x:v>Policy/report background</x:v>
      </x:c>
      <x:c r="E9" s="65" t="n">
        <x:f>COUNTIF('Final Classification'!H2:H34,D9)</x:f>
        <x:v>2</x:v>
      </x:c>
    </x:row>
    <x:row r="10">
      <x:c r="D10" s="64" t="str">
        <x:v>Decision-support only</x:v>
      </x:c>
      <x:c r="E10" s="65" t="n">
        <x:f>COUNTIF('Final Classification'!H2:H34,D10)</x:f>
        <x:v>1</x:v>
      </x:c>
    </x:row>
    <x:row r="11">
      <x:c r="D11" s="66" t="str">
        <x:v>Methodology</x:v>
      </x:c>
      <x:c r="E11" s="67" t="n">
        <x:f>COUNTIF('Final Classification'!H2:H34,D11)</x:f>
        <x:v>5</x:v>
      </x:c>
    </x:row>
    <x:row r="13">
      <x:c r="A13" s="80" t="str">
        <x:v>Decision rules used in this workbook</x:v>
      </x:c>
      <x:c r="B13" s="32" t="str"/>
      <x:c r="C13" s="32" t="str"/>
      <x:c r="D13" s="32" t="str"/>
      <x:c r="E13" s="32" t="str"/>
      <x:c r="F13" s="32" t="str"/>
    </x:row>
    <x:row r="14">
      <x:c r="A14" s="32" t="str">
        <x:v>1</x:v>
      </x:c>
      <x:c r="B14" s="32" t="str">
        <x:v>Formal analytical sample</x:v>
      </x:c>
      <x:c r="C14" s="32" t="str">
        <x:v>Includes 21 peer-reviewed reshoring sources selected for the thesis corpus.</x:v>
      </x:c>
      <x:c r="D14" s="32" t="str"/>
      <x:c r="E14" s="32" t="str"/>
      <x:c r="F14" s="32" t="str"/>
    </x:row>
    <x:row r="15">
      <x:c r="A15" s="32" t="str">
        <x:v>2</x:v>
      </x:c>
      <x:c r="B15" s="32" t="str">
        <x:v>Barrier-frequency caution</x:v>
      </x:c>
      <x:c r="C15" s="32" t="str">
        <x:v>Direct empirical, review and conceptual evidence must be counted separately.</x:v>
      </x:c>
      <x:c r="D15" s="32" t="str"/>
      <x:c r="E15" s="32" t="str"/>
      <x:c r="F15" s="32" t="str"/>
    </x:row>
    <x:row r="16">
      <x:c r="A16" s="32" t="str">
        <x:v>3</x:v>
      </x:c>
      <x:c r="B16" s="32" t="str">
        <x:v>Asia-specific caution</x:v>
      </x:c>
      <x:c r="C16" s="32" t="str">
        <x:v>A source is Asia-specific only when the data or case explicitly links an Asian host location to a return home.</x:v>
      </x:c>
      <x:c r="D16" s="32" t="str"/>
      <x:c r="E16" s="32" t="str"/>
      <x:c r="F16" s="32" t="str"/>
    </x:row>
    <x:row r="17">
      <x:c r="A17" s="32" t="str">
        <x:v>4</x:v>
      </x:c>
      <x:c r="B17" s="32" t="str">
        <x:v>Context sources</x:v>
      </x:c>
      <x:c r="C17" s="32" t="str">
        <x:v>China+1, macro relocation and policy reports are retained for Introduction/Discussion, not barrier coding.</x:v>
      </x:c>
      <x:c r="D17" s="32" t="str"/>
      <x:c r="E17" s="32" t="str"/>
      <x:c r="F17" s="32" t="str"/>
    </x:row>
    <x:row r="18">
      <x:c r="A18" s="32" t="str">
        <x:v>5</x:v>
      </x:c>
      <x:c r="B18" s="32" t="str">
        <x:v>Methodology sources</x:v>
      </x:c>
      <x:c r="C18" s="32" t="str">
        <x:v>Used only to justify SLR design, PRISMA reporting, coding and thematic synthesis.</x:v>
      </x:c>
      <x:c r="D18" s="32" t="str"/>
      <x:c r="E18" s="32" t="str"/>
      <x:c r="F18" s="32" t="str"/>
    </x:row>
  </x:sheetData>
  <x:mergeCells>
    <x:mergeCell ref="A1:F1"/>
    <x:mergeCell ref="A13:F13"/>
    <x:mergeCell ref="C14:F14"/>
    <x:mergeCell ref="C15:F15"/>
    <x:mergeCell ref="C16:F16"/>
    <x:mergeCell ref="C17:F17"/>
    <x:mergeCell ref="C18:F18"/>
  </x:mergeCells>
  <x:pageMargins left="0.7" right="0.7" top="0.75" bottom="0.75" header="0.3" footer="0.3"/>
  <x:drawing xmlns:r="http://schemas.openxmlformats.org/officeDocument/2006/relationships" r:id="Rb2c4cb5c36a74ce9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52" hidden="0" customWidth="1"/>
    <x:col min="4" max="4" width="42" hidden="0" customWidth="1"/>
  </x:cols>
  <x:sheetData>
    <x:row r="1">
      <x:c r="A1" s="83" t="str">
        <x:v>Classification Logic and Evidence Definitions</x:v>
      </x:c>
    </x:row>
    <x:row r="3">
      <x:c r="A3" s="86" t="str">
        <x:v>Field</x:v>
      </x:c>
      <x:c r="B3" s="86" t="str">
        <x:v>Value</x:v>
      </x:c>
      <x:c r="C3" s="86" t="str">
        <x:v>Meaning</x:v>
      </x:c>
      <x:c r="D3" s="86" t="str">
        <x:v>Use</x:v>
      </x:c>
    </x:row>
    <x:row r="4">
      <x:c r="A4" s="32" t="str">
        <x:v>Formal analytical sample</x:v>
      </x:c>
      <x:c r="B4" s="32" t="str">
        <x:v>Yes</x:v>
      </x:c>
      <x:c r="C4" s="32" t="str">
        <x:v>Included in the 21-source formal reshoring corpus.</x:v>
      </x:c>
      <x:c r="D4" s="32" t="str">
        <x:v>May be used in Literature Review, Results support and Discussion according to evidence type.</x:v>
      </x:c>
    </x:row>
    <x:row r="5">
      <x:c r="A5" s="32" t="str">
        <x:v>Formal analytical sample</x:v>
      </x:c>
      <x:c r="B5" s="32" t="str">
        <x:v>No</x:v>
      </x:c>
      <x:c r="C5" s="32" t="str">
        <x:v>Retained only as methodology, context, decision-tool or report/background literature.</x:v>
      </x:c>
      <x:c r="D5" s="32" t="str">
        <x:v>Not included in barrier-frequency counts.</x:v>
      </x:c>
    </x:row>
    <x:row r="6">
      <x:c r="A6" s="32" t="str">
        <x:v>Evidence level</x:v>
      </x:c>
      <x:c r="B6" s="32" t="str">
        <x:v>L1</x:v>
      </x:c>
      <x:c r="C6" s="32" t="str">
        <x:v>Direct implementation evidence from cases, interviews or observed implementation processes.</x:v>
      </x:c>
      <x:c r="D6" s="32" t="str">
        <x:v>Highest weight in Results.</x:v>
      </x:c>
    </x:row>
    <x:row r="7">
      <x:c r="A7" s="32" t="str">
        <x:v>Evidence level</x:v>
      </x:c>
      <x:c r="B7" s="32" t="str">
        <x:v>L2</x:v>
      </x:c>
      <x:c r="C7" s="32" t="str">
        <x:v>Reshoring-related empirical, review or conceptual evidence that is not direct implementation observation.</x:v>
      </x:c>
      <x:c r="D7" s="32" t="str">
        <x:v>Supporting evidence; label source type clearly.</x:v>
      </x:c>
    </x:row>
    <x:row r="8">
      <x:c r="A8" s="32" t="str">
        <x:v>Evidence level</x:v>
      </x:c>
      <x:c r="B8" s="32" t="str">
        <x:v>L3</x:v>
      </x:c>
      <x:c r="C8" s="32" t="str">
        <x:v>Contextual macro, sector or high-cost manufacturing evidence.</x:v>
      </x:c>
      <x:c r="D8" s="32" t="str">
        <x:v>Introduction or Discussion; not central barrier evidence.</x:v>
      </x:c>
    </x:row>
    <x:row r="9">
      <x:c r="A9" s="32" t="str">
        <x:v>Evidence level</x:v>
      </x:c>
      <x:c r="B9" s="32" t="str">
        <x:v>L4</x:v>
      </x:c>
      <x:c r="C9" s="32" t="str">
        <x:v>Methodological or decision-support evidence.</x:v>
      </x:c>
      <x:c r="D9" s="32" t="str">
        <x:v>Methodology or decision-tools discussion.</x:v>
      </x:c>
    </x:row>
    <x:row r="10">
      <x:c r="A10" s="32" t="str">
        <x:v>Evidence level</x:v>
      </x:c>
      <x:c r="B10" s="32" t="str">
        <x:v>L5</x:v>
      </x:c>
      <x:c r="C10" s="32" t="str">
        <x:v>Outside the core reshoring definition.</x:v>
      </x:c>
      <x:c r="D10" s="32" t="str">
        <x:v>Context only; no barrier coding.</x:v>
      </x:c>
    </x:row>
    <x:row r="11">
      <x:c r="A11" s="32" t="str">
        <x:v>Barrier synthesis</x:v>
      </x:c>
      <x:c r="B11" s="32" t="str">
        <x:v>Direct empirical</x:v>
      </x:c>
      <x:c r="C11" s="32" t="str">
        <x:v>Barrier is observed in primary empirical findings.</x:v>
      </x:c>
      <x:c r="D11" s="32" t="str">
        <x:v>Can count as direct confirmation.</x:v>
      </x:c>
    </x:row>
    <x:row r="12">
      <x:c r="A12" s="32" t="str">
        <x:v>Barrier synthesis</x:v>
      </x:c>
      <x:c r="B12" s="32" t="str">
        <x:v>Review evidence</x:v>
      </x:c>
      <x:c r="C12" s="32" t="str">
        <x:v>Barrier is reported through a literature review.</x:v>
      </x:c>
      <x:c r="D12" s="32" t="str">
        <x:v>Count separately from primary studies.</x:v>
      </x:c>
    </x:row>
    <x:row r="13">
      <x:c r="A13" s="32" t="str">
        <x:v>Barrier synthesis</x:v>
      </x:c>
      <x:c r="B13" s="32" t="str">
        <x:v>Conceptual support</x:v>
      </x:c>
      <x:c r="C13" s="32" t="str">
        <x:v>Barrier is theoretically argued or discussed, without primary observation.</x:v>
      </x:c>
      <x:c r="D13" s="32" t="str">
        <x:v>Use for interpretation, not empirical frequency.</x:v>
      </x:c>
    </x:row>
    <x:row r="14">
      <x:c r="A14" s="32" t="str">
        <x:v>Asia specificity</x:v>
      </x:c>
      <x:c r="B14" s="32" t="str">
        <x:v>High</x:v>
      </x:c>
      <x:c r="C14" s="32" t="str">
        <x:v>Specific Asia-to-home reshoring case or explicit Asian host-country evidence.</x:v>
      </x:c>
      <x:c r="D14" s="32" t="str">
        <x:v>Can support Asia-specific findings.</x:v>
      </x:c>
    </x:row>
    <x:row r="15">
      <x:c r="A15" s="32" t="str">
        <x:v>Asia specificity</x:v>
      </x:c>
      <x:c r="B15" s="32" t="str">
        <x:v>Medium</x:v>
      </x:c>
      <x:c r="C15" s="32" t="str">
        <x:v>Asia appears in part of the sample or selected cases, but findings are not fully disaggregated.</x:v>
      </x:c>
      <x:c r="D15" s="32" t="str">
        <x:v>Use cautiously; avoid overgeneralisation.</x:v>
      </x:c>
    </x:row>
    <x:row r="16">
      <x:c r="A16" s="32" t="str">
        <x:v>Asia specificity</x:v>
      </x:c>
      <x:c r="B16" s="32" t="str">
        <x:v>Low</x:v>
      </x:c>
      <x:c r="C16" s="32" t="str">
        <x:v>General reshoring evidence with little or no explicit Asian host-country linkage.</x:v>
      </x:c>
      <x:c r="D16" s="32" t="str">
        <x:v>Use as general supporting evidence only.</x:v>
      </x:c>
    </x:row>
  </x:sheetData>
  <x:mergeCells>
    <x:mergeCell ref="A1:D1"/>
  </x:mergeCells>
  <x:pageMargins left="0.7" right="0.7" top="0.75" bottom="0.75" header="0.3" footer="0.3"/>
</x:worksheet>
</file>